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Req. Não Funcionais" sheetId="2" state="visible" r:id="rId4"/>
    <sheet name="Planejamento de Spri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<sst xmlns="http://schemas.openxmlformats.org/spreadsheetml/2006/main" count="221" uniqueCount="142">
  <si>
    <t xml:space="preserve">🌿  ReFood  —  Product Backlog</t>
  </si>
  <si>
    <t xml:space="preserve">Redução do Desperdício de Alimentos  |  Engenharia de Software 2026  |  Arthur Brasil · Guilherme Luiz · Henrique Borges · Lucas Lonardi</t>
  </si>
  <si>
    <t xml:space="preserve">14</t>
  </si>
  <si>
    <t xml:space="preserve">6</t>
  </si>
  <si>
    <t xml:space="preserve">5</t>
  </si>
  <si>
    <t xml:space="preserve">3</t>
  </si>
  <si>
    <t xml:space="preserve">58 SP</t>
  </si>
  <si>
    <t xml:space="preserve">4</t>
  </si>
  <si>
    <t xml:space="preserve">User Stories</t>
  </si>
  <si>
    <t xml:space="preserve">Prioridade Alta</t>
  </si>
  <si>
    <t xml:space="preserve">Prioridade Média</t>
  </si>
  <si>
    <t xml:space="preserve">Prioridade Baixa</t>
  </si>
  <si>
    <t xml:space="preserve">Story Points</t>
  </si>
  <si>
    <t xml:space="preserve">Sprints</t>
  </si>
  <si>
    <t xml:space="preserve">  REQUISITOS FUNCIONAIS  —  USER STORIES</t>
  </si>
  <si>
    <t xml:space="preserve">ID</t>
  </si>
  <si>
    <t xml:space="preserve">User Story</t>
  </si>
  <si>
    <t xml:space="preserve">Critério de Aceitação</t>
  </si>
  <si>
    <t xml:space="preserve">Req.</t>
  </si>
  <si>
    <t xml:space="preserve">Prioridade</t>
  </si>
  <si>
    <t xml:space="preserve">SP</t>
  </si>
  <si>
    <t xml:space="preserve">Sprint</t>
  </si>
  <si>
    <t xml:space="preserve">Origem</t>
  </si>
  <si>
    <t xml:space="preserve">Status</t>
  </si>
  <si>
    <t xml:space="preserve">Observações</t>
  </si>
  <si>
    <t xml:space="preserve">US-01</t>
  </si>
  <si>
    <t xml:space="preserve">Como novo usuário, quero me cadastrar com nome, e-mail e senha para ter minha conta individual no ReFood.</t>
  </si>
  <si>
    <t xml:space="preserve">Cadastro salvo, e-mail único, senha criptografada, feedback de erro em campos inválidos</t>
  </si>
  <si>
    <t xml:space="preserve">RF01</t>
  </si>
  <si>
    <t xml:space="preserve">Alta</t>
  </si>
  <si>
    <t xml:space="preserve">Sprint 1</t>
  </si>
  <si>
    <t xml:space="preserve">Entrevista</t>
  </si>
  <si>
    <t xml:space="preserve">A Fazer</t>
  </si>
  <si>
    <t xml:space="preserve">US-02</t>
  </si>
  <si>
    <t xml:space="preserve">Como usuário cadastrado, quero fazer login com e-mail e senha para acessar meus dados com segurança.</t>
  </si>
  <si>
    <t xml:space="preserve">Login funcional, sessão mantida, mensagem de erro em dados inválidos</t>
  </si>
  <si>
    <t xml:space="preserve">RF02</t>
  </si>
  <si>
    <t xml:space="preserve">US-03</t>
  </si>
  <si>
    <t xml:space="preserve">Como usuário, quero recuperar minha senha por e-mail para não perder acesso à minha conta.</t>
  </si>
  <si>
    <t xml:space="preserve">E-mail enviado em até 1 min, link de redefinição funcional por 24h</t>
  </si>
  <si>
    <t xml:space="preserve">Media</t>
  </si>
  <si>
    <t xml:space="preserve">Questionário</t>
  </si>
  <si>
    <t xml:space="preserve">US-04</t>
  </si>
  <si>
    <t xml:space="preserve">Como usuário, quero cadastrar um alimento informando nome, categoria, quantidade, unidade e data de validade para controlar meu estoque.</t>
  </si>
  <si>
    <t xml:space="preserve">Todos os campos obrigatórios validados, item aparece na listagem imediatamente</t>
  </si>
  <si>
    <t xml:space="preserve">RF03</t>
  </si>
  <si>
    <t xml:space="preserve">8</t>
  </si>
  <si>
    <t xml:space="preserve">US-05</t>
  </si>
  <si>
    <t xml:space="preserve">Como usuário, quero visualizar a lista completa dos meus alimentos, podendo filtrar por categoria e ordenar por validade, para encontrar itens rapidamente.</t>
  </si>
  <si>
    <t xml:space="preserve">Filtros funcionais, badges de status por cor, ordenação correta por data</t>
  </si>
  <si>
    <t xml:space="preserve">RF06</t>
  </si>
  <si>
    <t xml:space="preserve">Sprint 2</t>
  </si>
  <si>
    <t xml:space="preserve">US-06</t>
  </si>
  <si>
    <t xml:space="preserve">Como usuário, quero atualizar a data de validade de um alimento para corrigir informações incorretas.</t>
  </si>
  <si>
    <t xml:space="preserve">Edição salva corretamente, data refletida nos alertas em tempo real</t>
  </si>
  <si>
    <t xml:space="preserve">RF04</t>
  </si>
  <si>
    <t xml:space="preserve">US-07</t>
  </si>
  <si>
    <t xml:space="preserve">Como usuário, quero editar os dados de um alimento cadastrado para manter as informações sempre corretas.</t>
  </si>
  <si>
    <t xml:space="preserve">Todos os campos editáveis, alterações persistem após fechar o app</t>
  </si>
  <si>
    <t xml:space="preserve">RF05</t>
  </si>
  <si>
    <t xml:space="preserve">Análise Similares</t>
  </si>
  <si>
    <t xml:space="preserve">US-08</t>
  </si>
  <si>
    <t xml:space="preserve">Como usuário, quero excluir um alimento do estoque para remover itens consumidos ou descartados.</t>
  </si>
  <si>
    <t xml:space="preserve">Confirmação antes de deletar, item removido da lista imediatamente</t>
  </si>
  <si>
    <t xml:space="preserve">2</t>
  </si>
  <si>
    <t xml:space="preserve">US-09</t>
  </si>
  <si>
    <t xml:space="preserve">Como usuário, quero receber notificações automáticas quando um alimento estiver próximo ao vencimento para não perder prazos.</t>
  </si>
  <si>
    <t xml:space="preserve">Notificação disparada conforme antecedência configurada, push notification funcionando em Android e iOS</t>
  </si>
  <si>
    <t xml:space="preserve">RF07</t>
  </si>
  <si>
    <t xml:space="preserve">Sprint 3</t>
  </si>
  <si>
    <t xml:space="preserve">US-10</t>
  </si>
  <si>
    <t xml:space="preserve">Como usuário, quero configurar com quantos dias de antecedência quero ser alertado (1 a 7 dias) para personalizar minha experiência.</t>
  </si>
  <si>
    <t xml:space="preserve">Slider/seletor de 1 a 7 dias, configuração salva por alimento, padrão 3 dias</t>
  </si>
  <si>
    <t xml:space="preserve">US-11</t>
  </si>
  <si>
    <t xml:space="preserve">Como usuário, quero criar uma lista de compras com itens em falta ou com estoque baixo para organizar minhas compras.</t>
  </si>
  <si>
    <t xml:space="preserve">Adicionar/remover itens da lista, marcar como comprado, lista persiste entre sessões</t>
  </si>
  <si>
    <t xml:space="preserve">RF08</t>
  </si>
  <si>
    <t xml:space="preserve">US-12</t>
  </si>
  <si>
    <t xml:space="preserve">Como usuário, quero visualizar um relatório com os alimentos que venceram ou foram descartados para entender meu padrão de desperdício.</t>
  </si>
  <si>
    <t xml:space="preserve">Relatório por período, gráfico por categoria, ranking dos mais desperdiçados</t>
  </si>
  <si>
    <t xml:space="preserve">RF09</t>
  </si>
  <si>
    <t xml:space="preserve">Sprint 4</t>
  </si>
  <si>
    <t xml:space="preserve">US-13</t>
  </si>
  <si>
    <t xml:space="preserve">Como usuário, quero registrar um alimento como "consumido" ou "descartado" para que o sistema contabilize no relatório.</t>
  </si>
  <si>
    <t xml:space="preserve">Ação registrada com data e tipo, impacto visível no relatório do período</t>
  </si>
  <si>
    <t xml:space="preserve">Baixa</t>
  </si>
  <si>
    <t xml:space="preserve">US-14</t>
  </si>
  <si>
    <t xml:space="preserve">Como usuário, quero compartilhar minha lista de compras com outros membros da casa para facilitar as compras em família.</t>
  </si>
  <si>
    <t xml:space="preserve">Lista compartilhável via link ou contato, atualizações em tempo real para todos</t>
  </si>
  <si>
    <t xml:space="preserve">TOTAL DE STORY POINTS</t>
  </si>
  <si>
    <t xml:space="preserve">🌿  ReFood  —  Requisitos Não Funcionais</t>
  </si>
  <si>
    <t xml:space="preserve">Restrições e critérios de qualidade do sistema  |  Engenharia de Software 2026</t>
  </si>
  <si>
    <t xml:space="preserve">Requisito</t>
  </si>
  <si>
    <t xml:space="preserve">Descrição</t>
  </si>
  <si>
    <t xml:space="preserve">Categoria</t>
  </si>
  <si>
    <t xml:space="preserve">RNF-01</t>
  </si>
  <si>
    <t xml:space="preserve">Usabilidade</t>
  </si>
  <si>
    <t xml:space="preserve">Interface simples e intuitiva, sem necessidade de treinamento prévio</t>
  </si>
  <si>
    <t xml:space="preserve">Novos usuários completam cadastro e primeiro alimento em até 3 minutos sem ajuda externa</t>
  </si>
  <si>
    <t xml:space="preserve">UX</t>
  </si>
  <si>
    <t xml:space="preserve">RNF-02</t>
  </si>
  <si>
    <t xml:space="preserve">Desempenho</t>
  </si>
  <si>
    <t xml:space="preserve">Tempo de resposta máximo de 2 segundos nas operações principais</t>
  </si>
  <si>
    <t xml:space="preserve">Cadastro, listagem e alertas respondem em ≤ 2s em conexão 4G mínima</t>
  </si>
  <si>
    <t xml:space="preserve">Performance</t>
  </si>
  <si>
    <t xml:space="preserve">RNF-03</t>
  </si>
  <si>
    <t xml:space="preserve">Disponibilidade</t>
  </si>
  <si>
    <t xml:space="preserve">Sistema disponível 24/7 com mínimo de 99% de uptime</t>
  </si>
  <si>
    <t xml:space="preserve">Downtime máximo de 7h/mês, monitorado por ferramenta externa de uptime</t>
  </si>
  <si>
    <t xml:space="preserve">Infraestrutura</t>
  </si>
  <si>
    <t xml:space="preserve">RNF-04</t>
  </si>
  <si>
    <t xml:space="preserve">Segurança (LGPD)</t>
  </si>
  <si>
    <t xml:space="preserve">Dados protegidos por criptografia e controle de acesso conforme LGPD</t>
  </si>
  <si>
    <t xml:space="preserve">Senhas com hash bcrypt, dados em trânsito via HTTPS/TLS, conformidade LGPD Lei 13.709/2018</t>
  </si>
  <si>
    <t xml:space="preserve">Segurança</t>
  </si>
  <si>
    <t xml:space="preserve">RNF-05</t>
  </si>
  <si>
    <t xml:space="preserve">Portabilidade</t>
  </si>
  <si>
    <t xml:space="preserve">Compatível com Android, iOS e navegadores web desktop e notebook</t>
  </si>
  <si>
    <t xml:space="preserve">Testado em Android 10+, iOS 14+, Chrome/Firefox/Safari nas versões mais recentes</t>
  </si>
  <si>
    <t xml:space="preserve">Compatibilidade</t>
  </si>
  <si>
    <t xml:space="preserve">RNF-06</t>
  </si>
  <si>
    <t xml:space="preserve">Manutenibilidade</t>
  </si>
  <si>
    <t xml:space="preserve">Código documentado com separação de responsabilidades</t>
  </si>
  <si>
    <t xml:space="preserve">Cobertura de comentários ≥ 70%, arquitetura MVC documentada no repositório</t>
  </si>
  <si>
    <t xml:space="preserve">Qualidade</t>
  </si>
  <si>
    <t xml:space="preserve">🌿  ReFood  —  Planejamento de Sprints</t>
  </si>
  <si>
    <t xml:space="preserve">Distribuição das User Stories por Sprint  |  Total: 58 Story Points</t>
  </si>
  <si>
    <t xml:space="preserve">Foco</t>
  </si>
  <si>
    <t xml:space="preserve">% do Total</t>
  </si>
  <si>
    <t xml:space="preserve">Base do Sistema</t>
  </si>
  <si>
    <t xml:space="preserve">US-01, US-02, US-03, US-04</t>
  </si>
  <si>
    <t xml:space="preserve">Autenticação, cadastro de usuários e primeiro cadastro de alimento</t>
  </si>
  <si>
    <t xml:space="preserve">Gestão do Estoque</t>
  </si>
  <si>
    <t xml:space="preserve">US-05, US-06, US-07, US-08</t>
  </si>
  <si>
    <t xml:space="preserve">Listagem com filtros, edição e exclusão de alimentos</t>
  </si>
  <si>
    <t xml:space="preserve">Alertas e Lista</t>
  </si>
  <si>
    <t xml:space="preserve">US-09, US-10, US-11</t>
  </si>
  <si>
    <t xml:space="preserve">Notificações push configuráveis e lista de compras</t>
  </si>
  <si>
    <t xml:space="preserve">Relatórios e Extras</t>
  </si>
  <si>
    <t xml:space="preserve">US-12, US-13, US-14</t>
  </si>
  <si>
    <t xml:space="preserve">Relatório de desperdício, registro de consumo/descarte e compartilhamento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</si>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</sst>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8"/>
      <color rgb="FF1A3A2A"/>
      <name val="Arial"/>
      <family val="0"/>
      <charset val="1"/>
    </font>
    <font>
      <b val="true"/>
      <sz val="18"/>
      <color rgb="FFA32D2D"/>
      <name val="Arial"/>
      <family val="0"/>
      <charset val="1"/>
    </font>
    <font>
      <b val="true"/>
      <sz val="18"/>
      <color rgb="FF854F0B"/>
      <name val="Arial"/>
      <family val="0"/>
      <charset val="1"/>
    </font>
    <font>
      <b val="true"/>
      <sz val="18"/>
      <color rgb="FF3B6D11"/>
      <name val="Arial"/>
      <family val="0"/>
      <charset val="1"/>
    </font>
    <font>
      <b val="true"/>
      <sz val="18"/>
      <color rgb="FF1E40AF"/>
      <name val="Arial"/>
      <family val="0"/>
      <charset val="1"/>
    </font>
    <font>
      <sz val="9"/>
      <color rgb="FF1A3A2A"/>
      <name val="Arial"/>
      <family val="0"/>
      <charset val="1"/>
    </font>
    <font>
      <sz val="9"/>
      <color rgb="FFA32D2D"/>
      <name val="Arial"/>
      <family val="0"/>
      <charset val="1"/>
    </font>
    <font>
      <sz val="9"/>
      <color rgb="FF854F0B"/>
      <name val="Arial"/>
      <family val="0"/>
      <charset val="1"/>
    </font>
    <font>
      <sz val="9"/>
      <color rgb="FF3B6D11"/>
      <name val="Arial"/>
      <family val="0"/>
      <charset val="1"/>
    </font>
    <font>
      <sz val="9"/>
      <color rgb="FF1E40AF"/>
      <name val="Arial"/>
      <family val="0"/>
      <charset val="1"/>
    </font>
    <font>
      <b val="true"/>
      <sz val="11"/>
      <color rgb="FF1A3A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D6A4F"/>
      <name val="Arial"/>
      <family val="0"/>
      <charset val="1"/>
    </font>
    <font>
      <sz val="9"/>
      <color rgb="FF1A2E22"/>
      <name val="Arial"/>
      <family val="0"/>
      <charset val="1"/>
    </font>
    <font>
      <sz val="9"/>
      <color rgb="FF4A6358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10"/>
      <color rgb="FF1A3A2A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9"/>
      <color rgb="FF3B6D11"/>
      <name val="Arial"/>
      <family val="0"/>
      <charset val="1"/>
    </font>
    <font>
      <sz val="10"/>
      <color rgb="FF1A2E22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4A6358"/>
      <name val="Arial"/>
      <family val="0"/>
      <charset val="1"/>
    </font>
    <font>
      <b val="true"/>
      <sz val="10"/>
      <color rgb="FF1A2E22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A2A"/>
        <bgColor rgb="FF1A2E22"/>
      </patternFill>
    </fill>
    <fill>
      <patternFill patternType="solid">
        <fgColor rgb="FF2D6A4F"/>
        <bgColor rgb="FF4A6358"/>
      </patternFill>
    </fill>
    <fill>
      <patternFill patternType="solid">
        <fgColor rgb="FFF4FAF6"/>
        <bgColor rgb="FFF0FBF3"/>
      </patternFill>
    </fill>
    <fill>
      <patternFill patternType="solid">
        <fgColor rgb="FFEAF3DE"/>
        <bgColor rgb="FFFAEEDA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D8F3DC"/>
        <bgColor rgb="FFEAF3DE"/>
      </patternFill>
    </fill>
    <fill>
      <patternFill patternType="solid">
        <fgColor rgb="FFB7E4C7"/>
        <bgColor rgb="FFC8E6D4"/>
      </patternFill>
    </fill>
    <fill>
      <patternFill patternType="solid">
        <fgColor rgb="FFDBEAFE"/>
        <bgColor rgb="FFEDE9FE"/>
      </patternFill>
    </fill>
    <fill>
      <patternFill patternType="solid">
        <fgColor rgb="FFFFFFFF"/>
        <bgColor rgb="FFF4FAF6"/>
      </patternFill>
    </fill>
    <fill>
      <patternFill patternType="solid">
        <fgColor rgb="FFF0FBF3"/>
        <bgColor rgb="FFF4FAF6"/>
      </patternFill>
    </fill>
    <fill>
      <patternFill patternType="solid">
        <fgColor rgb="FFEDE9FE"/>
        <bgColor rgb="FFDBEAFE"/>
      </patternFill>
    </fill>
    <fill>
      <patternFill patternType="solid">
        <fgColor rgb="FFFEF3C7"/>
        <bgColor rgb="FFFAEEDA"/>
      </patternFill>
    </fill>
    <fill>
      <patternFill patternType="solid">
        <fgColor rgb="FF4A6358"/>
        <bgColor rgb="FF2D6A4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A3A2A"/>
      </left>
      <right style="thin">
        <color rgb="FF1A3A2A"/>
      </right>
      <top style="thin">
        <color rgb="FF1A3A2A"/>
      </top>
      <bottom style="thin">
        <color rgb="FF1A3A2A"/>
      </bottom>
      <diagonal/>
    </border>
    <border diagonalUp="false" diagonalDown="false">
      <left style="thin">
        <color rgb="FFC8E6D4"/>
      </left>
      <right style="thin">
        <color rgb="FFC8E6D4"/>
      </right>
      <top style="thin">
        <color rgb="FFC8E6D4"/>
      </top>
      <bottom style="thin">
        <color rgb="FFC8E6D4"/>
      </bottom>
      <diagonal/>
    </border>
    <border diagonalUp="false" diagonalDown="false">
      <left style="thin">
        <color rgb="FF1A3A2A"/>
      </left>
      <right/>
      <top style="thin">
        <color rgb="FF1A3A2A"/>
      </top>
      <bottom style="thin">
        <color rgb="FF1A3A2A"/>
      </bottom>
      <diagonal/>
    </border>
    <border diagonalUp="false" diagonalDown="false">
      <left style="thin">
        <color rgb="FF4A6358"/>
      </left>
      <right style="thin">
        <color rgb="FF4A6358"/>
      </right>
      <top style="thin">
        <color rgb="FF4A6358"/>
      </top>
      <bottom style="thin">
        <color rgb="FF4A635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5B21B6"/>
      <rgbColor rgb="FF2D6A4F"/>
      <rgbColor rgb="FFB7E4C7"/>
      <rgbColor rgb="FF808080"/>
      <rgbColor rgb="FF9999FF"/>
      <rgbColor rgb="FFA32D2D"/>
      <rgbColor rgb="FFFEF3C7"/>
      <rgbColor rgb="FFDBEAFE"/>
      <rgbColor rgb="FF660066"/>
      <rgbColor rgb="FFFF8080"/>
      <rgbColor rgb="FF0066CC"/>
      <rgbColor rgb="FFC8E6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BF3"/>
      <rgbColor rgb="FFD8F3DC"/>
      <rgbColor rgb="FFFAEEDA"/>
      <rgbColor rgb="FFEDE9FE"/>
      <rgbColor rgb="FFEAF3DE"/>
      <rgbColor rgb="FFF4FAF6"/>
      <rgbColor rgb="FFFCEBEB"/>
      <rgbColor rgb="FF3366FF"/>
      <rgbColor rgb="FF33CCCC"/>
      <rgbColor rgb="FF99CC00"/>
      <rgbColor rgb="FFFFCC00"/>
      <rgbColor rgb="FFFF9900"/>
      <rgbColor rgb="FFFF6600"/>
      <rgbColor rgb="FF4A6358"/>
      <rgbColor rgb="FF969696"/>
      <rgbColor rgb="FF003366"/>
      <rgbColor rgb="FF339966"/>
      <rgbColor rgb="FF003300"/>
      <rgbColor rgb="FF1A2E22"/>
      <rgbColor rgb="FF92400E"/>
      <rgbColor rgb="FF993366"/>
      <rgbColor rgb="FF1E40AF"/>
      <rgbColor rgb="FF1A3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42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3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</row>
    <row r="5" customFormat="false" ht="30" hidden="false" customHeight="true" outlineLevel="0" collapsed="false">
      <c r="A5" s="5" t="s">
        <v>2</v>
      </c>
      <c r="B5" s="5"/>
      <c r="C5" s="6" t="s">
        <v>3</v>
      </c>
      <c r="D5" s="6"/>
      <c r="E5" s="7" t="s">
        <v>4</v>
      </c>
      <c r="F5" s="7"/>
      <c r="G5" s="8" t="s">
        <v>5</v>
      </c>
      <c r="H5" s="8"/>
      <c r="I5" s="9" t="s">
        <v>6</v>
      </c>
      <c r="J5" s="10" t="s">
        <v>7</v>
      </c>
    </row>
    <row r="6" customFormat="false" ht="18" hidden="false" customHeight="true" outlineLevel="0" collapsed="false">
      <c r="A6" s="11" t="s">
        <v>8</v>
      </c>
      <c r="B6" s="11"/>
      <c r="C6" s="12" t="s">
        <v>9</v>
      </c>
      <c r="D6" s="12"/>
      <c r="E6" s="13" t="s">
        <v>10</v>
      </c>
      <c r="F6" s="13"/>
      <c r="G6" s="14" t="s">
        <v>11</v>
      </c>
      <c r="H6" s="14"/>
      <c r="I6" s="15" t="s">
        <v>12</v>
      </c>
      <c r="J6" s="16" t="s">
        <v>13</v>
      </c>
    </row>
    <row r="7" customFormat="false" ht="9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</row>
    <row r="8" customFormat="false" ht="6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24" hidden="false" customHeight="true" outlineLevel="0" collapsed="false">
      <c r="A9" s="17" t="s">
        <v>14</v>
      </c>
      <c r="B9" s="17"/>
      <c r="C9" s="17"/>
      <c r="D9" s="17"/>
      <c r="E9" s="17"/>
      <c r="F9" s="17"/>
      <c r="G9" s="17"/>
      <c r="H9" s="17"/>
      <c r="I9" s="17"/>
      <c r="J9" s="17"/>
    </row>
    <row r="10" customFormat="false" ht="27.75" hidden="false" customHeight="true" outlineLevel="0" collapsed="false">
      <c r="A10" s="18" t="s">
        <v>15</v>
      </c>
      <c r="B10" s="18" t="s">
        <v>16</v>
      </c>
      <c r="C10" s="18" t="s">
        <v>17</v>
      </c>
      <c r="D10" s="18" t="s">
        <v>18</v>
      </c>
      <c r="E10" s="18" t="s">
        <v>19</v>
      </c>
      <c r="F10" s="18" t="s">
        <v>20</v>
      </c>
      <c r="G10" s="18" t="s">
        <v>21</v>
      </c>
      <c r="H10" s="18" t="s">
        <v>22</v>
      </c>
      <c r="I10" s="18" t="s">
        <v>23</v>
      </c>
      <c r="J10" s="18" t="s">
        <v>24</v>
      </c>
    </row>
    <row r="11" customFormat="false" ht="51.75" hidden="false" customHeight="true" outlineLevel="0" collapsed="false">
      <c r="A11" s="19" t="s">
        <v>25</v>
      </c>
      <c r="B11" s="20" t="s">
        <v>26</v>
      </c>
      <c r="C11" s="21" t="s">
        <v>27</v>
      </c>
      <c r="D11" s="19" t="s">
        <v>28</v>
      </c>
      <c r="E11" s="22" t="s">
        <v>29</v>
      </c>
      <c r="F11" s="23" t="s">
        <v>4</v>
      </c>
      <c r="G11" s="24" t="s">
        <v>30</v>
      </c>
      <c r="H11" s="25" t="s">
        <v>31</v>
      </c>
      <c r="I11" s="26" t="s">
        <v>32</v>
      </c>
      <c r="J11" s="27"/>
    </row>
    <row r="12" customFormat="false" ht="51.75" hidden="false" customHeight="true" outlineLevel="0" collapsed="false">
      <c r="A12" s="28" t="s">
        <v>33</v>
      </c>
      <c r="B12" s="29" t="s">
        <v>34</v>
      </c>
      <c r="C12" s="30" t="s">
        <v>35</v>
      </c>
      <c r="D12" s="28" t="s">
        <v>36</v>
      </c>
      <c r="E12" s="22" t="s">
        <v>29</v>
      </c>
      <c r="F12" s="31" t="s">
        <v>5</v>
      </c>
      <c r="G12" s="24" t="s">
        <v>30</v>
      </c>
      <c r="H12" s="32" t="s">
        <v>31</v>
      </c>
      <c r="I12" s="26" t="s">
        <v>32</v>
      </c>
      <c r="J12" s="33"/>
    </row>
    <row r="13" customFormat="false" ht="51.75" hidden="false" customHeight="true" outlineLevel="0" collapsed="false">
      <c r="A13" s="19" t="s">
        <v>37</v>
      </c>
      <c r="B13" s="20" t="s">
        <v>38</v>
      </c>
      <c r="C13" s="21" t="s">
        <v>39</v>
      </c>
      <c r="D13" s="19" t="s">
        <v>36</v>
      </c>
      <c r="E13" s="34" t="s">
        <v>40</v>
      </c>
      <c r="F13" s="23" t="s">
        <v>5</v>
      </c>
      <c r="G13" s="24" t="s">
        <v>30</v>
      </c>
      <c r="H13" s="25" t="s">
        <v>41</v>
      </c>
      <c r="I13" s="26" t="s">
        <v>32</v>
      </c>
      <c r="J13" s="27"/>
    </row>
    <row r="14" customFormat="false" ht="51.75" hidden="false" customHeight="true" outlineLevel="0" collapsed="false">
      <c r="A14" s="28" t="s">
        <v>42</v>
      </c>
      <c r="B14" s="29" t="s">
        <v>43</v>
      </c>
      <c r="C14" s="30" t="s">
        <v>44</v>
      </c>
      <c r="D14" s="28" t="s">
        <v>45</v>
      </c>
      <c r="E14" s="22" t="s">
        <v>29</v>
      </c>
      <c r="F14" s="31" t="s">
        <v>46</v>
      </c>
      <c r="G14" s="24" t="s">
        <v>30</v>
      </c>
      <c r="H14" s="32" t="s">
        <v>31</v>
      </c>
      <c r="I14" s="26" t="s">
        <v>32</v>
      </c>
      <c r="J14" s="33"/>
    </row>
    <row r="15" customFormat="false" ht="51.75" hidden="false" customHeight="true" outlineLevel="0" collapsed="false">
      <c r="A15" s="19" t="s">
        <v>47</v>
      </c>
      <c r="B15" s="20" t="s">
        <v>48</v>
      </c>
      <c r="C15" s="21" t="s">
        <v>49</v>
      </c>
      <c r="D15" s="19" t="s">
        <v>50</v>
      </c>
      <c r="E15" s="22" t="s">
        <v>29</v>
      </c>
      <c r="F15" s="23" t="s">
        <v>4</v>
      </c>
      <c r="G15" s="35" t="s">
        <v>51</v>
      </c>
      <c r="H15" s="25" t="s">
        <v>31</v>
      </c>
      <c r="I15" s="26" t="s">
        <v>32</v>
      </c>
      <c r="J15" s="27"/>
    </row>
    <row r="16" customFormat="false" ht="51.75" hidden="false" customHeight="true" outlineLevel="0" collapsed="false">
      <c r="A16" s="28" t="s">
        <v>52</v>
      </c>
      <c r="B16" s="29" t="s">
        <v>53</v>
      </c>
      <c r="C16" s="30" t="s">
        <v>54</v>
      </c>
      <c r="D16" s="28" t="s">
        <v>55</v>
      </c>
      <c r="E16" s="22" t="s">
        <v>29</v>
      </c>
      <c r="F16" s="31" t="s">
        <v>5</v>
      </c>
      <c r="G16" s="35" t="s">
        <v>51</v>
      </c>
      <c r="H16" s="32" t="s">
        <v>41</v>
      </c>
      <c r="I16" s="26" t="s">
        <v>32</v>
      </c>
      <c r="J16" s="33"/>
    </row>
    <row r="17" customFormat="false" ht="51.75" hidden="false" customHeight="true" outlineLevel="0" collapsed="false">
      <c r="A17" s="19" t="s">
        <v>56</v>
      </c>
      <c r="B17" s="20" t="s">
        <v>57</v>
      </c>
      <c r="C17" s="21" t="s">
        <v>58</v>
      </c>
      <c r="D17" s="19" t="s">
        <v>59</v>
      </c>
      <c r="E17" s="34" t="s">
        <v>40</v>
      </c>
      <c r="F17" s="23" t="s">
        <v>5</v>
      </c>
      <c r="G17" s="35" t="s">
        <v>51</v>
      </c>
      <c r="H17" s="25" t="s">
        <v>60</v>
      </c>
      <c r="I17" s="26" t="s">
        <v>32</v>
      </c>
      <c r="J17" s="27"/>
    </row>
    <row r="18" customFormat="false" ht="51.75" hidden="false" customHeight="true" outlineLevel="0" collapsed="false">
      <c r="A18" s="28" t="s">
        <v>61</v>
      </c>
      <c r="B18" s="29" t="s">
        <v>62</v>
      </c>
      <c r="C18" s="30" t="s">
        <v>63</v>
      </c>
      <c r="D18" s="28" t="s">
        <v>59</v>
      </c>
      <c r="E18" s="34" t="s">
        <v>40</v>
      </c>
      <c r="F18" s="31" t="s">
        <v>64</v>
      </c>
      <c r="G18" s="35" t="s">
        <v>51</v>
      </c>
      <c r="H18" s="32" t="s">
        <v>60</v>
      </c>
      <c r="I18" s="26" t="s">
        <v>32</v>
      </c>
      <c r="J18" s="33"/>
    </row>
    <row r="19" customFormat="false" ht="51.75" hidden="false" customHeight="true" outlineLevel="0" collapsed="false">
      <c r="A19" s="19" t="s">
        <v>65</v>
      </c>
      <c r="B19" s="20" t="s">
        <v>66</v>
      </c>
      <c r="C19" s="21" t="s">
        <v>67</v>
      </c>
      <c r="D19" s="19" t="s">
        <v>68</v>
      </c>
      <c r="E19" s="22" t="s">
        <v>29</v>
      </c>
      <c r="F19" s="23" t="s">
        <v>46</v>
      </c>
      <c r="G19" s="36" t="s">
        <v>69</v>
      </c>
      <c r="H19" s="25" t="s">
        <v>31</v>
      </c>
      <c r="I19" s="26" t="s">
        <v>32</v>
      </c>
      <c r="J19" s="27"/>
    </row>
    <row r="20" customFormat="false" ht="51.75" hidden="false" customHeight="true" outlineLevel="0" collapsed="false">
      <c r="A20" s="28" t="s">
        <v>70</v>
      </c>
      <c r="B20" s="29" t="s">
        <v>71</v>
      </c>
      <c r="C20" s="30" t="s">
        <v>72</v>
      </c>
      <c r="D20" s="28" t="s">
        <v>68</v>
      </c>
      <c r="E20" s="34" t="s">
        <v>40</v>
      </c>
      <c r="F20" s="31" t="s">
        <v>5</v>
      </c>
      <c r="G20" s="36" t="s">
        <v>69</v>
      </c>
      <c r="H20" s="32" t="s">
        <v>41</v>
      </c>
      <c r="I20" s="26" t="s">
        <v>32</v>
      </c>
      <c r="J20" s="33"/>
    </row>
    <row r="21" customFormat="false" ht="51.75" hidden="false" customHeight="true" outlineLevel="0" collapsed="false">
      <c r="A21" s="19" t="s">
        <v>73</v>
      </c>
      <c r="B21" s="20" t="s">
        <v>74</v>
      </c>
      <c r="C21" s="21" t="s">
        <v>75</v>
      </c>
      <c r="D21" s="19" t="s">
        <v>76</v>
      </c>
      <c r="E21" s="34" t="s">
        <v>40</v>
      </c>
      <c r="F21" s="23" t="s">
        <v>4</v>
      </c>
      <c r="G21" s="36" t="s">
        <v>69</v>
      </c>
      <c r="H21" s="25" t="s">
        <v>60</v>
      </c>
      <c r="I21" s="26" t="s">
        <v>32</v>
      </c>
      <c r="J21" s="27"/>
    </row>
    <row r="22" customFormat="false" ht="51.75" hidden="false" customHeight="true" outlineLevel="0" collapsed="false">
      <c r="A22" s="28" t="s">
        <v>77</v>
      </c>
      <c r="B22" s="29" t="s">
        <v>78</v>
      </c>
      <c r="C22" s="30" t="s">
        <v>79</v>
      </c>
      <c r="D22" s="28" t="s">
        <v>80</v>
      </c>
      <c r="E22" s="22" t="s">
        <v>29</v>
      </c>
      <c r="F22" s="31" t="s">
        <v>46</v>
      </c>
      <c r="G22" s="37" t="s">
        <v>81</v>
      </c>
      <c r="H22" s="32" t="s">
        <v>31</v>
      </c>
      <c r="I22" s="26" t="s">
        <v>32</v>
      </c>
      <c r="J22" s="33"/>
    </row>
    <row r="23" customFormat="false" ht="51.75" hidden="false" customHeight="true" outlineLevel="0" collapsed="false">
      <c r="A23" s="19" t="s">
        <v>82</v>
      </c>
      <c r="B23" s="20" t="s">
        <v>83</v>
      </c>
      <c r="C23" s="21" t="s">
        <v>84</v>
      </c>
      <c r="D23" s="19" t="s">
        <v>80</v>
      </c>
      <c r="E23" s="38" t="s">
        <v>85</v>
      </c>
      <c r="F23" s="23" t="s">
        <v>5</v>
      </c>
      <c r="G23" s="37" t="s">
        <v>81</v>
      </c>
      <c r="H23" s="25" t="s">
        <v>31</v>
      </c>
      <c r="I23" s="26" t="s">
        <v>32</v>
      </c>
      <c r="J23" s="27"/>
    </row>
    <row r="24" customFormat="false" ht="51.75" hidden="false" customHeight="true" outlineLevel="0" collapsed="false">
      <c r="A24" s="28" t="s">
        <v>86</v>
      </c>
      <c r="B24" s="29" t="s">
        <v>87</v>
      </c>
      <c r="C24" s="30" t="s">
        <v>88</v>
      </c>
      <c r="D24" s="28" t="s">
        <v>76</v>
      </c>
      <c r="E24" s="38" t="s">
        <v>85</v>
      </c>
      <c r="F24" s="31" t="s">
        <v>4</v>
      </c>
      <c r="G24" s="37" t="s">
        <v>81</v>
      </c>
      <c r="H24" s="32" t="s">
        <v>60</v>
      </c>
      <c r="I24" s="26" t="s">
        <v>32</v>
      </c>
      <c r="J24" s="33"/>
    </row>
    <row r="25" customFormat="false" ht="21.75" hidden="false" customHeight="true" outlineLevel="0" collapsed="false">
      <c r="A25" s="39" t="s">
        <v>89</v>
      </c>
      <c r="B25" s="39"/>
      <c r="C25" s="39"/>
      <c r="D25" s="39"/>
      <c r="E25" s="39"/>
      <c r="F25" s="40" t="n">
        <f aca="false">SUM(F11:F24)</f>
        <v>0</v>
      </c>
      <c r="G25" s="41"/>
      <c r="H25" s="41"/>
      <c r="I25" s="41"/>
      <c r="J25" s="41"/>
    </row>
  </sheetData>
  <mergeCells count="14">
    <mergeCell ref="A1:J1"/>
    <mergeCell ref="A2:J2"/>
    <mergeCell ref="A3:J3"/>
    <mergeCell ref="A5:B5"/>
    <mergeCell ref="C5:D5"/>
    <mergeCell ref="E5:F5"/>
    <mergeCell ref="G5:H5"/>
    <mergeCell ref="A6:B6"/>
    <mergeCell ref="C6:D6"/>
    <mergeCell ref="E6:F6"/>
    <mergeCell ref="G6:H6"/>
    <mergeCell ref="A8:J8"/>
    <mergeCell ref="A9:J9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6358"/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13"/>
    <col collapsed="false" customWidth="true" hidden="false" outlineLevel="0" max="6" min="6" style="0" width="16"/>
  </cols>
  <sheetData>
    <row r="1" customFormat="false" ht="48" hidden="false" customHeight="true" outlineLevel="0" collapsed="false">
      <c r="A1" s="42" t="s">
        <v>90</v>
      </c>
      <c r="B1" s="42"/>
      <c r="C1" s="42"/>
      <c r="D1" s="42"/>
      <c r="E1" s="42"/>
      <c r="F1" s="42"/>
    </row>
    <row r="2" customFormat="false" ht="21.75" hidden="false" customHeight="true" outlineLevel="0" collapsed="false">
      <c r="A2" s="43" t="s">
        <v>91</v>
      </c>
      <c r="B2" s="43"/>
      <c r="C2" s="43"/>
      <c r="D2" s="43"/>
      <c r="E2" s="43"/>
      <c r="F2" s="43"/>
    </row>
    <row r="3" customFormat="false" ht="7.5" hidden="false" customHeight="true" outlineLevel="0" collapsed="false">
      <c r="A3" s="3"/>
      <c r="B3" s="3"/>
      <c r="C3" s="3"/>
      <c r="D3" s="3"/>
      <c r="E3" s="3"/>
      <c r="F3" s="3"/>
    </row>
    <row r="4" customFormat="false" ht="27.75" hidden="false" customHeight="true" outlineLevel="0" collapsed="false">
      <c r="A4" s="44" t="s">
        <v>15</v>
      </c>
      <c r="B4" s="44" t="s">
        <v>92</v>
      </c>
      <c r="C4" s="44" t="s">
        <v>93</v>
      </c>
      <c r="D4" s="44" t="s">
        <v>17</v>
      </c>
      <c r="E4" s="44" t="s">
        <v>19</v>
      </c>
      <c r="F4" s="44" t="s">
        <v>94</v>
      </c>
    </row>
    <row r="5" customFormat="false" ht="48" hidden="false" customHeight="true" outlineLevel="0" collapsed="false">
      <c r="A5" s="45" t="s">
        <v>95</v>
      </c>
      <c r="B5" s="46" t="s">
        <v>96</v>
      </c>
      <c r="C5" s="21" t="s">
        <v>97</v>
      </c>
      <c r="D5" s="21" t="s">
        <v>98</v>
      </c>
      <c r="E5" s="22" t="s">
        <v>29</v>
      </c>
      <c r="F5" s="26" t="s">
        <v>99</v>
      </c>
    </row>
    <row r="6" customFormat="false" ht="48" hidden="false" customHeight="true" outlineLevel="0" collapsed="false">
      <c r="A6" s="47" t="s">
        <v>100</v>
      </c>
      <c r="B6" s="48" t="s">
        <v>101</v>
      </c>
      <c r="C6" s="30" t="s">
        <v>102</v>
      </c>
      <c r="D6" s="30" t="s">
        <v>103</v>
      </c>
      <c r="E6" s="22" t="s">
        <v>29</v>
      </c>
      <c r="F6" s="26" t="s">
        <v>104</v>
      </c>
    </row>
    <row r="7" customFormat="false" ht="48" hidden="false" customHeight="true" outlineLevel="0" collapsed="false">
      <c r="A7" s="45" t="s">
        <v>105</v>
      </c>
      <c r="B7" s="46" t="s">
        <v>106</v>
      </c>
      <c r="C7" s="21" t="s">
        <v>107</v>
      </c>
      <c r="D7" s="21" t="s">
        <v>108</v>
      </c>
      <c r="E7" s="22" t="s">
        <v>29</v>
      </c>
      <c r="F7" s="26" t="s">
        <v>109</v>
      </c>
    </row>
    <row r="8" customFormat="false" ht="48" hidden="false" customHeight="true" outlineLevel="0" collapsed="false">
      <c r="A8" s="47" t="s">
        <v>110</v>
      </c>
      <c r="B8" s="48" t="s">
        <v>111</v>
      </c>
      <c r="C8" s="30" t="s">
        <v>112</v>
      </c>
      <c r="D8" s="30" t="s">
        <v>113</v>
      </c>
      <c r="E8" s="22" t="s">
        <v>29</v>
      </c>
      <c r="F8" s="26" t="s">
        <v>114</v>
      </c>
    </row>
    <row r="9" customFormat="false" ht="48" hidden="false" customHeight="true" outlineLevel="0" collapsed="false">
      <c r="A9" s="45" t="s">
        <v>115</v>
      </c>
      <c r="B9" s="46" t="s">
        <v>116</v>
      </c>
      <c r="C9" s="21" t="s">
        <v>117</v>
      </c>
      <c r="D9" s="21" t="s">
        <v>118</v>
      </c>
      <c r="E9" s="34" t="s">
        <v>40</v>
      </c>
      <c r="F9" s="26" t="s">
        <v>119</v>
      </c>
    </row>
    <row r="10" customFormat="false" ht="48" hidden="false" customHeight="true" outlineLevel="0" collapsed="false">
      <c r="A10" s="47" t="s">
        <v>120</v>
      </c>
      <c r="B10" s="48" t="s">
        <v>121</v>
      </c>
      <c r="C10" s="30" t="s">
        <v>122</v>
      </c>
      <c r="D10" s="30" t="s">
        <v>123</v>
      </c>
      <c r="E10" s="38" t="s">
        <v>85</v>
      </c>
      <c r="F10" s="26" t="s">
        <v>124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48" hidden="false" customHeight="true" outlineLevel="0" collapsed="false">
      <c r="A1" s="49" t="s">
        <v>125</v>
      </c>
      <c r="B1" s="49"/>
      <c r="C1" s="49"/>
      <c r="D1" s="49"/>
      <c r="E1" s="49"/>
      <c r="F1" s="49"/>
    </row>
    <row r="2" customFormat="false" ht="21.75" hidden="false" customHeight="true" outlineLevel="0" collapsed="false">
      <c r="A2" s="2" t="s">
        <v>126</v>
      </c>
      <c r="B2" s="2"/>
      <c r="C2" s="2"/>
      <c r="D2" s="2"/>
      <c r="E2" s="2"/>
      <c r="F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</row>
    <row r="4" customFormat="false" ht="27.75" hidden="false" customHeight="true" outlineLevel="0" collapsed="false">
      <c r="A4" s="18" t="s">
        <v>21</v>
      </c>
      <c r="B4" s="18" t="s">
        <v>127</v>
      </c>
      <c r="C4" s="18" t="s">
        <v>8</v>
      </c>
      <c r="D4" s="18" t="s">
        <v>12</v>
      </c>
      <c r="E4" s="18" t="s">
        <v>128</v>
      </c>
      <c r="F4" s="18" t="s">
        <v>24</v>
      </c>
    </row>
    <row r="5" customFormat="false" ht="51.75" hidden="false" customHeight="true" outlineLevel="0" collapsed="false">
      <c r="A5" s="24" t="s">
        <v>30</v>
      </c>
      <c r="B5" s="46" t="s">
        <v>129</v>
      </c>
      <c r="C5" s="20" t="s">
        <v>130</v>
      </c>
      <c r="D5" s="50" t="n">
        <v>19</v>
      </c>
      <c r="E5" s="51" t="n">
        <f aca="false">D5/58</f>
        <v>0.327586206896552</v>
      </c>
      <c r="F5" s="21" t="s">
        <v>131</v>
      </c>
    </row>
    <row r="6" customFormat="false" ht="51.75" hidden="false" customHeight="true" outlineLevel="0" collapsed="false">
      <c r="A6" s="35" t="s">
        <v>51</v>
      </c>
      <c r="B6" s="46" t="s">
        <v>132</v>
      </c>
      <c r="C6" s="20" t="s">
        <v>133</v>
      </c>
      <c r="D6" s="50" t="n">
        <v>13</v>
      </c>
      <c r="E6" s="51" t="n">
        <f aca="false">D6/58</f>
        <v>0.224137931034483</v>
      </c>
      <c r="F6" s="21" t="s">
        <v>134</v>
      </c>
    </row>
    <row r="7" customFormat="false" ht="51.75" hidden="false" customHeight="true" outlineLevel="0" collapsed="false">
      <c r="A7" s="36" t="s">
        <v>69</v>
      </c>
      <c r="B7" s="46" t="s">
        <v>135</v>
      </c>
      <c r="C7" s="20" t="s">
        <v>136</v>
      </c>
      <c r="D7" s="50" t="n">
        <v>16</v>
      </c>
      <c r="E7" s="51" t="n">
        <f aca="false">D7/58</f>
        <v>0.275862068965517</v>
      </c>
      <c r="F7" s="21" t="s">
        <v>137</v>
      </c>
    </row>
    <row r="8" customFormat="false" ht="51.75" hidden="false" customHeight="true" outlineLevel="0" collapsed="false">
      <c r="A8" s="37" t="s">
        <v>81</v>
      </c>
      <c r="B8" s="46" t="s">
        <v>138</v>
      </c>
      <c r="C8" s="20" t="s">
        <v>139</v>
      </c>
      <c r="D8" s="50" t="n">
        <v>16</v>
      </c>
      <c r="E8" s="51" t="n">
        <f aca="false">D8/58</f>
        <v>0.275862068965517</v>
      </c>
      <c r="F8" s="21" t="s">
        <v>140</v>
      </c>
    </row>
    <row r="9" customFormat="false" ht="24" hidden="false" customHeight="true" outlineLevel="0" collapsed="false">
      <c r="A9" s="39" t="s">
        <v>141</v>
      </c>
      <c r="B9" s="39"/>
      <c r="C9" s="39"/>
      <c r="D9" s="40" t="n">
        <f aca="false">SUM(D5:D8)</f>
        <v>64</v>
      </c>
      <c r="E9" s="52" t="n">
        <f aca="false">D9/58</f>
        <v>1.10344827586207</v>
      </c>
      <c r="F9" s="41"/>
    </row>
  </sheetData>
  <mergeCells count="4">
    <mergeCell ref="A1:F1"/>
    <mergeCell ref="A2:F2"/>
    <mergeCell ref="A3:F3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2026-05-18T20:34:01Z</dcterms:created>
  <dc:creator>openpyxl</dc:creator>
  <dc:description/>
  <dc:language>en-US</dc:language>
  <cp:lastModifiedBy/>
  <dcterms:modified xsi:type="dcterms:W3CDTF">2026-05-18T20:34:01Z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